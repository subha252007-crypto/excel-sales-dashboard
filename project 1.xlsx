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103" documentId="11_E60897F41BE170836B02CE998F75CCDC64E183C8" xr6:coauthVersionLast="47" xr6:coauthVersionMax="47" xr10:uidLastSave="{E13F2536-C558-41D7-B2A5-34736CE48B45}"/>
  <bookViews>
    <workbookView xWindow="240" yWindow="105" windowWidth="14805" windowHeight="8010" activeTab="1" xr2:uid="{00000000-000D-0000-FFFF-FFFF00000000}"/>
  </bookViews>
  <sheets>
    <sheet name="Data" sheetId="1" r:id="rId1"/>
    <sheet name="DashBoard" sheetId="2" r:id="rId2"/>
    <sheet name="Categori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" i="2" l="1"/>
  <c r="B3" i="2"/>
  <c r="B10" i="2"/>
  <c r="B11" i="2"/>
  <c r="B12" i="2"/>
  <c r="B13" i="2"/>
  <c r="B14" i="2"/>
  <c r="B15" i="2"/>
  <c r="B16" i="2"/>
  <c r="B4" i="2"/>
  <c r="B2" i="2"/>
</calcChain>
</file>

<file path=xl/sharedStrings.xml><?xml version="1.0" encoding="utf-8"?>
<sst xmlns="http://schemas.openxmlformats.org/spreadsheetml/2006/main" count="74" uniqueCount="33">
  <si>
    <t>Date</t>
  </si>
  <si>
    <t>Description</t>
  </si>
  <si>
    <t>Category</t>
  </si>
  <si>
    <t>Type</t>
  </si>
  <si>
    <t>Amount</t>
  </si>
  <si>
    <t>July Salary</t>
  </si>
  <si>
    <t>Salary</t>
  </si>
  <si>
    <t>Income</t>
  </si>
  <si>
    <t>Groceries</t>
  </si>
  <si>
    <t>Food</t>
  </si>
  <si>
    <t>Expense</t>
  </si>
  <si>
    <t>Bus pass</t>
  </si>
  <si>
    <t>Transport</t>
  </si>
  <si>
    <t>Netflix</t>
  </si>
  <si>
    <t>Entertainment</t>
  </si>
  <si>
    <t>Freelance work</t>
  </si>
  <si>
    <t>Freelance</t>
  </si>
  <si>
    <t>Medicine</t>
  </si>
  <si>
    <t>Medical</t>
  </si>
  <si>
    <t>Shopping</t>
  </si>
  <si>
    <t>15/07/2026</t>
  </si>
  <si>
    <t>Rent</t>
  </si>
  <si>
    <t>20/07/2026</t>
  </si>
  <si>
    <t>Dinner out</t>
  </si>
  <si>
    <t>25/07/2026</t>
  </si>
  <si>
    <t>Savings</t>
  </si>
  <si>
    <t xml:space="preserve">Monthly Budget Tracker — July 2026
</t>
  </si>
  <si>
    <t>Total Income</t>
  </si>
  <si>
    <t>Total Expense</t>
  </si>
  <si>
    <t>Balance</t>
  </si>
  <si>
    <t>Others</t>
  </si>
  <si>
    <t>Expenses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</si>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</sst>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Data Range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DashBoard!$A$9:$A$16</c:f>
              <c:strCache>
                <c:ptCount val="8"/>
                <c:pt idx="0">
                  <c:v>Food</c:v>
                </c:pt>
                <c:pt idx="1">
                  <c:v>Transport</c:v>
                </c:pt>
                <c:pt idx="2">
                  <c:v>Rent</c:v>
                </c:pt>
                <c:pt idx="3">
                  <c:v>Entertainment</c:v>
                </c:pt>
                <c:pt idx="4">
                  <c:v>Shopping</c:v>
                </c:pt>
                <c:pt idx="5">
                  <c:v>Medical</c:v>
                </c:pt>
                <c:pt idx="6">
                  <c:v>Savings</c:v>
                </c:pt>
                <c:pt idx="7">
                  <c:v>Others</c:v>
                </c:pt>
              </c:strCache>
            </c:strRef>
          </c:cat>
          <c:val>
            <c:numRef>
              <c:f>DashBoard!$B$9:$B$16</c:f>
              <c:numCache>
                <c:formatCode>General</c:formatCode>
                <c:ptCount val="8"/>
                <c:pt idx="0">
                  <c:v>2100</c:v>
                </c:pt>
                <c:pt idx="1">
                  <c:v>500</c:v>
                </c:pt>
                <c:pt idx="2">
                  <c:v>199</c:v>
                </c:pt>
                <c:pt idx="3">
                  <c:v>5000</c:v>
                </c:pt>
                <c:pt idx="4">
                  <c:v>800</c:v>
                </c:pt>
                <c:pt idx="5">
                  <c:v>2000</c:v>
                </c:pt>
                <c:pt idx="6">
                  <c:v>8000</c:v>
                </c:pt>
                <c:pt idx="7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6-4159-8343-F028B161E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2286728"/>
        <c:axId val="1272289800"/>
      </c:barChart>
      <c:catAx>
        <c:axId val="1272286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289800"/>
        <c:crosses val="autoZero"/>
        <c:auto val="1"/>
        <c:lblAlgn val="ctr"/>
        <c:lblOffset val="100"/>
        <c:noMultiLvlLbl val="0"/>
      </c:catAx>
      <c:valAx>
        <c:axId val="1272289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286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161925</xdr:rowOff>
    </xdr:from>
    <xdr:to>
      <xdr:col>4</xdr:col>
      <xdr:colOff>447675</xdr:colOff>
      <xdr:row>31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2AD2B6-FFC2-C01A-3C14-358AF74664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F1" sqref="F1"/>
    </sheetView>
  </sheetViews>
  <sheetFormatPr defaultRowHeight="15"/>
  <cols>
    <col min="1" max="1" width="23.5703125" customWidth="1"/>
    <col min="2" max="2" width="11.7109375" customWidth="1"/>
    <col min="3" max="3" width="12.85546875" customWidth="1"/>
    <col min="4" max="4" width="12.7109375" customWidth="1"/>
    <col min="5" max="5" width="11.8554687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46029</v>
      </c>
      <c r="B2" s="2" t="s">
        <v>5</v>
      </c>
      <c r="C2" s="2" t="s">
        <v>6</v>
      </c>
      <c r="D2" s="2" t="s">
        <v>7</v>
      </c>
      <c r="E2" s="2">
        <v>25000</v>
      </c>
    </row>
    <row r="3" spans="1:5">
      <c r="A3" s="3">
        <v>46060</v>
      </c>
      <c r="B3" s="2" t="s">
        <v>8</v>
      </c>
      <c r="C3" s="2" t="s">
        <v>9</v>
      </c>
      <c r="D3" s="2" t="s">
        <v>10</v>
      </c>
      <c r="E3" s="2">
        <v>1500</v>
      </c>
    </row>
    <row r="4" spans="1:5">
      <c r="A4" s="3">
        <v>46088</v>
      </c>
      <c r="B4" s="2" t="s">
        <v>11</v>
      </c>
      <c r="C4" s="2" t="s">
        <v>12</v>
      </c>
      <c r="D4" s="2" t="s">
        <v>10</v>
      </c>
      <c r="E4" s="2">
        <v>500</v>
      </c>
    </row>
    <row r="5" spans="1:5">
      <c r="A5" s="3">
        <v>46149</v>
      </c>
      <c r="B5" s="2" t="s">
        <v>13</v>
      </c>
      <c r="C5" s="2" t="s">
        <v>14</v>
      </c>
      <c r="D5" s="2" t="s">
        <v>10</v>
      </c>
      <c r="E5" s="2">
        <v>199</v>
      </c>
    </row>
    <row r="6" spans="1:5">
      <c r="A6" s="3">
        <v>46210</v>
      </c>
      <c r="B6" s="2" t="s">
        <v>15</v>
      </c>
      <c r="C6" s="2" t="s">
        <v>16</v>
      </c>
      <c r="D6" s="2" t="s">
        <v>7</v>
      </c>
      <c r="E6" s="2">
        <v>5000</v>
      </c>
    </row>
    <row r="7" spans="1:5">
      <c r="A7" s="3">
        <v>46302</v>
      </c>
      <c r="B7" s="2" t="s">
        <v>17</v>
      </c>
      <c r="C7" s="2" t="s">
        <v>18</v>
      </c>
      <c r="D7" s="2" t="s">
        <v>10</v>
      </c>
      <c r="E7" s="2">
        <v>800</v>
      </c>
    </row>
    <row r="8" spans="1:5">
      <c r="A8" s="3">
        <v>46363</v>
      </c>
      <c r="B8" s="2" t="s">
        <v>19</v>
      </c>
      <c r="C8" s="2" t="s">
        <v>19</v>
      </c>
      <c r="D8" s="2" t="s">
        <v>10</v>
      </c>
      <c r="E8" s="2">
        <v>2000</v>
      </c>
    </row>
    <row r="9" spans="1:5">
      <c r="A9" s="1" t="s">
        <v>20</v>
      </c>
      <c r="B9" s="2" t="s">
        <v>21</v>
      </c>
      <c r="C9" s="2" t="s">
        <v>21</v>
      </c>
      <c r="D9" s="2" t="s">
        <v>10</v>
      </c>
      <c r="E9" s="2">
        <v>8000</v>
      </c>
    </row>
    <row r="10" spans="1:5">
      <c r="A10" s="1" t="s">
        <v>22</v>
      </c>
      <c r="B10" s="2" t="s">
        <v>23</v>
      </c>
      <c r="C10" s="2" t="s">
        <v>9</v>
      </c>
      <c r="D10" s="2" t="s">
        <v>10</v>
      </c>
      <c r="E10" s="2">
        <v>600</v>
      </c>
    </row>
    <row r="11" spans="1:5">
      <c r="A11" s="1" t="s">
        <v>24</v>
      </c>
      <c r="B11" s="2" t="s">
        <v>25</v>
      </c>
      <c r="C11" s="2" t="s">
        <v>25</v>
      </c>
      <c r="D11" s="2" t="s">
        <v>10</v>
      </c>
      <c r="E11" s="2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6135-F605-4545-8564-B8E41F6B225A}">
  <dimension ref="A1:K32"/>
  <sheetViews>
    <sheetView tabSelected="1" topLeftCell="A13" workbookViewId="0">
      <selection activeCell="K41" sqref="K41"/>
    </sheetView>
  </sheetViews>
  <sheetFormatPr defaultRowHeight="15"/>
  <cols>
    <col min="1" max="1" width="34.42578125" customWidth="1"/>
  </cols>
  <sheetData>
    <row r="1" spans="1:11" ht="66" customHeight="1">
      <c r="A1" s="5" t="s">
        <v>26</v>
      </c>
      <c r="B1" s="5"/>
      <c r="C1" s="11"/>
      <c r="D1" s="4"/>
      <c r="E1" s="4"/>
      <c r="F1" s="4"/>
      <c r="G1" s="4"/>
      <c r="H1" s="4"/>
      <c r="I1" s="4"/>
      <c r="J1" s="4"/>
      <c r="K1" s="4"/>
    </row>
    <row r="2" spans="1:11">
      <c r="A2" s="6" t="s">
        <v>27</v>
      </c>
      <c r="B2" s="6">
        <f>IFERROR(SUMIF(Data!D2:D11,"Income",Data!E2:E11),0)</f>
        <v>30000</v>
      </c>
      <c r="C2" s="11"/>
      <c r="D2" s="4"/>
      <c r="E2" s="4"/>
      <c r="F2" s="4"/>
      <c r="G2" s="4"/>
      <c r="H2" s="4"/>
      <c r="I2" s="4"/>
      <c r="J2" s="4"/>
      <c r="K2" s="4"/>
    </row>
    <row r="3" spans="1:11">
      <c r="A3" s="6" t="s">
        <v>28</v>
      </c>
      <c r="B3" s="6">
        <f>IFERROR(SUMIF(Data!D2:D11,"Expense",Data!E2:E11),0)</f>
        <v>16599</v>
      </c>
      <c r="C3" s="11"/>
      <c r="D3" s="4"/>
      <c r="E3" s="4"/>
      <c r="F3" s="4"/>
      <c r="G3" s="4"/>
      <c r="H3" s="4"/>
      <c r="I3" s="4"/>
      <c r="J3" s="4"/>
      <c r="K3" s="4"/>
    </row>
    <row r="4" spans="1:11">
      <c r="A4" s="6" t="s">
        <v>29</v>
      </c>
      <c r="B4" s="6">
        <f>IFERROR(B2-B3,0)</f>
        <v>13401</v>
      </c>
      <c r="C4" s="11"/>
      <c r="D4" s="4"/>
      <c r="E4" s="4"/>
      <c r="F4" s="4"/>
      <c r="G4" s="4"/>
      <c r="H4" s="4"/>
      <c r="I4" s="4"/>
      <c r="J4" s="4"/>
      <c r="K4" s="4"/>
    </row>
    <row r="5" spans="1:11">
      <c r="A5" s="7"/>
      <c r="B5" s="7"/>
      <c r="C5" s="11"/>
      <c r="D5" s="4"/>
      <c r="E5" s="4"/>
      <c r="F5" s="4"/>
      <c r="G5" s="4"/>
      <c r="H5" s="4"/>
      <c r="I5" s="4"/>
      <c r="J5" s="4"/>
      <c r="K5" s="4"/>
    </row>
    <row r="6" spans="1:11">
      <c r="A6" s="7"/>
      <c r="B6" s="7"/>
      <c r="C6" s="11"/>
      <c r="D6" s="4"/>
      <c r="E6" s="4"/>
      <c r="F6" s="4"/>
      <c r="G6" s="4"/>
      <c r="H6" s="4"/>
      <c r="I6" s="4"/>
      <c r="J6" s="4"/>
      <c r="K6" s="4"/>
    </row>
    <row r="7" spans="1:11">
      <c r="A7" s="7"/>
      <c r="B7" s="7"/>
      <c r="C7" s="11"/>
      <c r="D7" s="4"/>
      <c r="E7" s="4"/>
      <c r="F7" s="4"/>
      <c r="G7" s="4"/>
      <c r="H7" s="4"/>
      <c r="I7" s="4"/>
      <c r="J7" s="4"/>
      <c r="K7" s="4"/>
    </row>
    <row r="8" spans="1:11">
      <c r="A8" s="8" t="s">
        <v>2</v>
      </c>
      <c r="B8" s="8" t="s">
        <v>4</v>
      </c>
      <c r="C8" s="11"/>
      <c r="D8" s="4"/>
      <c r="E8" s="4"/>
      <c r="F8" s="4"/>
      <c r="G8" s="4"/>
      <c r="H8" s="4"/>
      <c r="I8" s="4"/>
      <c r="J8" s="4"/>
      <c r="K8" s="4"/>
    </row>
    <row r="9" spans="1:11">
      <c r="A9" s="9" t="s">
        <v>9</v>
      </c>
      <c r="B9" s="9">
        <f>IFERROR(SUMIFS(Data!E2:E11,Data!C2:C11,Data!C3,Data!D2:D11,Data!D3),0)</f>
        <v>2100</v>
      </c>
      <c r="C9" s="11"/>
      <c r="D9" s="4"/>
      <c r="E9" s="4"/>
      <c r="F9" s="4"/>
      <c r="G9" s="4"/>
      <c r="H9" s="4"/>
      <c r="I9" s="4"/>
      <c r="J9" s="4"/>
      <c r="K9" s="4"/>
    </row>
    <row r="10" spans="1:11">
      <c r="A10" s="9" t="s">
        <v>12</v>
      </c>
      <c r="B10" s="9">
        <f>IFERROR(SUMIFS(Data!E3:E12,Data!C3:C12,Data!C4,Data!D3:D12,Data!D4),0)</f>
        <v>500</v>
      </c>
      <c r="C10" s="11"/>
      <c r="D10" s="4"/>
      <c r="E10" s="4"/>
      <c r="F10" s="4"/>
      <c r="G10" s="4"/>
      <c r="H10" s="4"/>
      <c r="I10" s="4"/>
      <c r="J10" s="4"/>
      <c r="K10" s="4"/>
    </row>
    <row r="11" spans="1:11">
      <c r="A11" s="9" t="s">
        <v>21</v>
      </c>
      <c r="B11" s="9">
        <f>IFERROR(SUMIFS(Data!E4:E13,Data!C4:C13,Data!C5,Data!D4:D13,Data!D5),0)</f>
        <v>199</v>
      </c>
      <c r="C11" s="11"/>
      <c r="D11" s="4"/>
      <c r="E11" s="4"/>
      <c r="F11" s="4"/>
      <c r="G11" s="4"/>
      <c r="H11" s="4"/>
      <c r="I11" s="4"/>
      <c r="J11" s="4"/>
      <c r="K11" s="4"/>
    </row>
    <row r="12" spans="1:11">
      <c r="A12" s="9" t="s">
        <v>14</v>
      </c>
      <c r="B12" s="9">
        <f>IFERROR(SUMIFS(Data!E5:E14,Data!C5:C14,Data!C6,Data!D5:D14,Data!D6),0)</f>
        <v>5000</v>
      </c>
      <c r="C12" s="11"/>
      <c r="D12" s="4"/>
      <c r="E12" s="4"/>
      <c r="F12" s="4"/>
      <c r="G12" s="4"/>
      <c r="H12" s="4"/>
      <c r="I12" s="4"/>
      <c r="J12" s="4"/>
      <c r="K12" s="4"/>
    </row>
    <row r="13" spans="1:11">
      <c r="A13" s="9" t="s">
        <v>19</v>
      </c>
      <c r="B13" s="9">
        <f>IFERROR(SUMIFS(Data!E6:E15,Data!C6:C15,Data!C7,Data!D6:D15,Data!D7),0)</f>
        <v>800</v>
      </c>
      <c r="C13" s="11"/>
      <c r="D13" s="4"/>
      <c r="E13" s="4"/>
      <c r="F13" s="4"/>
      <c r="G13" s="4"/>
      <c r="H13" s="4"/>
      <c r="I13" s="4"/>
      <c r="J13" s="4"/>
      <c r="K13" s="4"/>
    </row>
    <row r="14" spans="1:11">
      <c r="A14" s="9" t="s">
        <v>18</v>
      </c>
      <c r="B14" s="9">
        <f>IFERROR(SUMIFS(Data!E7:E16,Data!C7:C16,Data!C8,Data!D7:D16,Data!D8),0)</f>
        <v>2000</v>
      </c>
      <c r="C14" s="11"/>
      <c r="D14" s="4"/>
      <c r="E14" s="4"/>
      <c r="F14" s="4"/>
      <c r="G14" s="4"/>
      <c r="H14" s="4"/>
      <c r="I14" s="4"/>
      <c r="J14" s="4"/>
      <c r="K14" s="4"/>
    </row>
    <row r="15" spans="1:11">
      <c r="A15" s="9" t="s">
        <v>25</v>
      </c>
      <c r="B15" s="9">
        <f>IFERROR(SUMIFS(Data!E8:E17,Data!C8:C17,Data!C9,Data!D8:D17,Data!D9),0)</f>
        <v>8000</v>
      </c>
      <c r="C15" s="11"/>
      <c r="D15" s="4"/>
      <c r="E15" s="4"/>
      <c r="F15" s="4"/>
      <c r="G15" s="4"/>
      <c r="H15" s="4"/>
      <c r="I15" s="4"/>
      <c r="J15" s="4"/>
      <c r="K15" s="4"/>
    </row>
    <row r="16" spans="1:11">
      <c r="A16" s="9" t="s">
        <v>30</v>
      </c>
      <c r="B16" s="9">
        <f>IFERROR(SUMIFS(Data!E9:E18,Data!C9:C18,Data!C10,Data!D9:D18,Data!D10),0)</f>
        <v>600</v>
      </c>
      <c r="C16" s="11"/>
      <c r="D16" s="4"/>
      <c r="E16" s="4"/>
      <c r="F16" s="4"/>
      <c r="G16" s="4"/>
      <c r="H16" s="4"/>
      <c r="I16" s="4"/>
      <c r="J16" s="4"/>
      <c r="K16" s="4"/>
    </row>
    <row r="17" spans="1:5">
      <c r="A17" s="10"/>
      <c r="B17" s="10"/>
      <c r="C17" s="10"/>
      <c r="D17" s="10"/>
      <c r="E17" s="10"/>
    </row>
    <row r="18" spans="1:5">
      <c r="A18" s="10"/>
      <c r="B18" s="10"/>
      <c r="C18" s="10"/>
      <c r="D18" s="10"/>
      <c r="E18" s="10"/>
    </row>
    <row r="19" spans="1:5">
      <c r="A19" s="10"/>
      <c r="B19" s="10"/>
      <c r="C19" s="10"/>
      <c r="D19" s="10"/>
      <c r="E19" s="10"/>
    </row>
    <row r="20" spans="1:5">
      <c r="A20" s="10"/>
      <c r="B20" s="10"/>
      <c r="C20" s="10"/>
      <c r="D20" s="10"/>
      <c r="E20" s="10"/>
    </row>
    <row r="21" spans="1:5">
      <c r="A21" s="10"/>
      <c r="B21" s="10"/>
      <c r="C21" s="10"/>
      <c r="D21" s="10"/>
      <c r="E21" s="10"/>
    </row>
    <row r="22" spans="1:5">
      <c r="A22" s="10"/>
      <c r="B22" s="10"/>
      <c r="C22" s="10"/>
      <c r="D22" s="10"/>
      <c r="E22" s="10"/>
    </row>
    <row r="23" spans="1:5">
      <c r="A23" s="10"/>
      <c r="B23" s="10"/>
      <c r="C23" s="10"/>
      <c r="D23" s="10"/>
      <c r="E23" s="10"/>
    </row>
    <row r="24" spans="1:5">
      <c r="A24" s="10"/>
      <c r="B24" s="10"/>
      <c r="C24" s="10"/>
      <c r="D24" s="10"/>
      <c r="E24" s="10"/>
    </row>
    <row r="25" spans="1:5">
      <c r="A25" s="10"/>
      <c r="B25" s="10"/>
      <c r="C25" s="10"/>
      <c r="D25" s="10"/>
      <c r="E25" s="10"/>
    </row>
    <row r="26" spans="1:5">
      <c r="A26" s="10"/>
      <c r="B26" s="10"/>
      <c r="C26" s="10"/>
      <c r="D26" s="10"/>
      <c r="E26" s="10"/>
    </row>
    <row r="27" spans="1:5">
      <c r="A27" s="10"/>
      <c r="B27" s="10"/>
      <c r="C27" s="10"/>
      <c r="D27" s="10"/>
      <c r="E27" s="10"/>
    </row>
    <row r="28" spans="1:5">
      <c r="A28" s="10"/>
      <c r="B28" s="10"/>
      <c r="C28" s="10"/>
      <c r="D28" s="10"/>
      <c r="E28" s="10"/>
    </row>
    <row r="29" spans="1:5">
      <c r="A29" s="10"/>
      <c r="B29" s="10"/>
      <c r="C29" s="10"/>
      <c r="D29" s="10"/>
      <c r="E29" s="10"/>
    </row>
    <row r="30" spans="1:5">
      <c r="A30" s="10"/>
      <c r="B30" s="10"/>
      <c r="C30" s="10"/>
      <c r="D30" s="10"/>
      <c r="E30" s="10"/>
    </row>
    <row r="31" spans="1:5">
      <c r="A31" s="10"/>
      <c r="B31" s="10"/>
      <c r="C31" s="10"/>
      <c r="D31" s="10"/>
      <c r="E31" s="10"/>
    </row>
    <row r="32" spans="1:5">
      <c r="A32" s="10"/>
      <c r="B32" s="10"/>
      <c r="C32" s="10"/>
      <c r="D32" s="10"/>
      <c r="E32" s="10"/>
    </row>
  </sheetData>
  <mergeCells count="2">
    <mergeCell ref="A1:B1"/>
    <mergeCell ref="A17:E32"/>
  </mergeCells>
  <conditionalFormatting sqref="B9:B16">
    <cfRule type="cellIs" dxfId="0" priority="1" operator="greaterThan">
      <formula>"&gt;2000"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D05A1-20FA-4D0B-9D34-13204688A455}">
  <dimension ref="A1:B12"/>
  <sheetViews>
    <sheetView workbookViewId="0">
      <selection activeCell="A12" sqref="A12"/>
    </sheetView>
  </sheetViews>
  <sheetFormatPr defaultRowHeight="15"/>
  <cols>
    <col min="1" max="1" width="21.28515625" bestFit="1" customWidth="1"/>
  </cols>
  <sheetData>
    <row r="1" spans="1:2">
      <c r="A1" t="s">
        <v>2</v>
      </c>
      <c r="B1" t="s">
        <v>3</v>
      </c>
    </row>
    <row r="3" spans="1:2">
      <c r="A3" t="s">
        <v>6</v>
      </c>
      <c r="B3" t="s">
        <v>7</v>
      </c>
    </row>
    <row r="4" spans="1:2">
      <c r="A4" t="s">
        <v>16</v>
      </c>
      <c r="B4" t="s">
        <v>7</v>
      </c>
    </row>
    <row r="5" spans="1:2">
      <c r="A5" t="s">
        <v>9</v>
      </c>
      <c r="B5" t="s">
        <v>31</v>
      </c>
    </row>
    <row r="6" spans="1:2">
      <c r="A6" t="s">
        <v>12</v>
      </c>
      <c r="B6" t="s">
        <v>31</v>
      </c>
    </row>
    <row r="7" spans="1:2">
      <c r="A7" t="s">
        <v>21</v>
      </c>
      <c r="B7" t="s">
        <v>31</v>
      </c>
    </row>
    <row r="8" spans="1:2">
      <c r="A8" t="s">
        <v>14</v>
      </c>
      <c r="B8" t="s">
        <v>31</v>
      </c>
    </row>
    <row r="9" spans="1:2">
      <c r="A9" t="s">
        <v>19</v>
      </c>
      <c r="B9" t="s">
        <v>31</v>
      </c>
    </row>
    <row r="10" spans="1:2">
      <c r="A10" t="s">
        <v>18</v>
      </c>
      <c r="B10" t="s">
        <v>31</v>
      </c>
    </row>
    <row r="11" spans="1:2">
      <c r="A11" t="s">
        <v>25</v>
      </c>
      <c r="B11" t="s">
        <v>31</v>
      </c>
    </row>
    <row r="12" spans="1:2">
      <c r="A12" t="s">
        <v>32</v>
      </c>
      <c r="B1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Shuba R</cp:lastModifiedBy>
  <cp:revision/>
  <dcterms:created xsi:type="dcterms:W3CDTF">2026-07-08T00:41:59Z</dcterms:created>
  <dcterms:modified xsi:type="dcterms:W3CDTF">2026-07-08T01:31:44Z</dcterms:modified>
  <cp:category/>
  <cp:contentStatus/>
</cp:coreProperties>
</file>